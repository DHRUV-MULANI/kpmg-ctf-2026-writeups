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RUN\Downloads\"/>
    </mc:Choice>
  </mc:AlternateContent>
  <xr:revisionPtr revIDLastSave="0" documentId="13_ncr:1_{5ACF2B5A-2426-4CB6-ADB8-11CBFFC26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3 Forecast" sheetId="1" r:id="rId1"/>
    <sheet name="Assumptions" sheetId="2" r:id="rId2"/>
  </sheets>
  <definedNames>
    <definedName name="_xlnm._FilterDatabase" localSheetId="0" hidden="1">'Q3 Forecast'!$A$6:$G$16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E18" i="1"/>
  <c r="D18" i="1"/>
  <c r="C18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<sst xmlns="http://schemas.openxmlformats.org/spreadsheetml/2006/main" count="59" uniqueCount="42">
  <si>
    <t>Q3 2026 Revenue Forecast</t>
  </si>
  <si>
    <t>Prepared for Finance &amp; Business Operations</t>
  </si>
  <si>
    <t>Region</t>
  </si>
  <si>
    <t>Q3 Actual / Forecast</t>
  </si>
  <si>
    <t>Jul</t>
  </si>
  <si>
    <t>Aug</t>
  </si>
  <si>
    <t>Sep</t>
  </si>
  <si>
    <t>Q3 Total</t>
  </si>
  <si>
    <t>YoY Growth</t>
  </si>
  <si>
    <t>Forecast Type</t>
  </si>
  <si>
    <t>North</t>
  </si>
  <si>
    <t>Forecast</t>
  </si>
  <si>
    <t>South</t>
  </si>
  <si>
    <t>East</t>
  </si>
  <si>
    <t>West</t>
  </si>
  <si>
    <t>Central</t>
  </si>
  <si>
    <t>Enterprise</t>
  </si>
  <si>
    <t>Online</t>
  </si>
  <si>
    <t>Channel</t>
  </si>
  <si>
    <t>Public Sector</t>
  </si>
  <si>
    <t>International</t>
  </si>
  <si>
    <t>7vQm91Xe</t>
  </si>
  <si>
    <t>Total</t>
  </si>
  <si>
    <t>Notes</t>
  </si>
  <si>
    <t>Forecast values are management estimates and may be revised during the quarter.</t>
  </si>
  <si>
    <t>Currency: USD. Growth is compared with the corresponding prior-year period.</t>
  </si>
  <si>
    <t>Q3 Forecast Assumptions</t>
  </si>
  <si>
    <t>Assumption</t>
  </si>
  <si>
    <t>Value</t>
  </si>
  <si>
    <t>Comment</t>
  </si>
  <si>
    <t>Planning currency</t>
  </si>
  <si>
    <t>USD</t>
  </si>
  <si>
    <t>All forecast values are presented in USD</t>
  </si>
  <si>
    <t>Forecast horizon</t>
  </si>
  <si>
    <t>Q3 2026</t>
  </si>
  <si>
    <t>July through September</t>
  </si>
  <si>
    <t>Revenue recognition</t>
  </si>
  <si>
    <t>Monthly</t>
  </si>
  <si>
    <t>Forecast is allocated by expected monthly activity</t>
  </si>
  <si>
    <t>Revision cycle</t>
  </si>
  <si>
    <t>Finance reviews assumptions during month-end close</t>
  </si>
  <si>
    <t>PART_5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</si>
</sst>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G21" sqref="G21"/>
    </sheetView>
  </sheetViews>
  <sheetFormatPr defaultRowHeight="14.4" x14ac:dyDescent="0.3"/>
  <cols>
    <col min="1" max="2" width="20" customWidth="1"/>
    <col min="3" max="5" width="15" customWidth="1"/>
    <col min="6" max="6" width="17" customWidth="1"/>
    <col min="7" max="7" width="15" customWidth="1"/>
  </cols>
  <sheetData>
    <row r="1" spans="1:7" ht="24" customHeight="1" x14ac:dyDescent="0.4">
      <c r="A1" s="1" t="s">
        <v>0</v>
      </c>
    </row>
    <row r="2" spans="1:7" x14ac:dyDescent="0.3">
      <c r="A2" s="2" t="s">
        <v>1</v>
      </c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6" spans="1:7" x14ac:dyDescent="0.3">
      <c r="A6" s="3" t="s">
        <v>2</v>
      </c>
      <c r="B6" s="3" t="s">
        <v>9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x14ac:dyDescent="0.3">
      <c r="A7" s="4" t="s">
        <v>10</v>
      </c>
      <c r="B7" s="4" t="s">
        <v>11</v>
      </c>
      <c r="C7" s="5">
        <v>1820000</v>
      </c>
      <c r="D7" s="5">
        <v>1915000</v>
      </c>
      <c r="E7" s="5">
        <v>2040000</v>
      </c>
      <c r="F7" s="5">
        <f t="shared" ref="F7:F16" si="0">SUM(C7:E7)</f>
        <v>5775000</v>
      </c>
      <c r="G7" s="6">
        <v>8.4000000000000005E-2</v>
      </c>
    </row>
    <row r="8" spans="1:7" x14ac:dyDescent="0.3">
      <c r="A8" s="4" t="s">
        <v>12</v>
      </c>
      <c r="B8" s="4" t="s">
        <v>11</v>
      </c>
      <c r="C8" s="5">
        <v>2140000</v>
      </c>
      <c r="D8" s="5">
        <v>2210000</v>
      </c>
      <c r="E8" s="5">
        <v>2295000</v>
      </c>
      <c r="F8" s="5">
        <f t="shared" si="0"/>
        <v>6645000</v>
      </c>
      <c r="G8" s="6">
        <v>0.113</v>
      </c>
    </row>
    <row r="9" spans="1:7" x14ac:dyDescent="0.3">
      <c r="A9" s="4" t="s">
        <v>13</v>
      </c>
      <c r="B9" s="4" t="s">
        <v>11</v>
      </c>
      <c r="C9" s="5">
        <v>1475000</v>
      </c>
      <c r="D9" s="5">
        <v>1530000</v>
      </c>
      <c r="E9" s="5">
        <v>1610000</v>
      </c>
      <c r="F9" s="5">
        <f t="shared" si="0"/>
        <v>4615000</v>
      </c>
      <c r="G9" s="6">
        <v>6.7000000000000004E-2</v>
      </c>
    </row>
    <row r="10" spans="1:7" x14ac:dyDescent="0.3">
      <c r="A10" s="4" t="s">
        <v>14</v>
      </c>
      <c r="B10" s="4" t="s">
        <v>11</v>
      </c>
      <c r="C10" s="5">
        <v>1960000</v>
      </c>
      <c r="D10" s="5">
        <v>2055000</v>
      </c>
      <c r="E10" s="5">
        <v>2135000</v>
      </c>
      <c r="F10" s="5">
        <f t="shared" si="0"/>
        <v>6150000</v>
      </c>
      <c r="G10" s="6">
        <v>9.1999999999999998E-2</v>
      </c>
    </row>
    <row r="11" spans="1:7" x14ac:dyDescent="0.3">
      <c r="A11" s="4" t="s">
        <v>15</v>
      </c>
      <c r="B11" s="4" t="s">
        <v>11</v>
      </c>
      <c r="C11" s="5">
        <v>1210000</v>
      </c>
      <c r="D11" s="5">
        <v>1285000</v>
      </c>
      <c r="E11" s="5">
        <v>1340000</v>
      </c>
      <c r="F11" s="5">
        <f t="shared" si="0"/>
        <v>3835000</v>
      </c>
      <c r="G11" s="6">
        <v>5.8000000000000003E-2</v>
      </c>
    </row>
    <row r="12" spans="1:7" x14ac:dyDescent="0.3">
      <c r="A12" s="4" t="s">
        <v>16</v>
      </c>
      <c r="B12" s="4" t="s">
        <v>11</v>
      </c>
      <c r="C12" s="5">
        <v>2680000</v>
      </c>
      <c r="D12" s="5">
        <v>2765000</v>
      </c>
      <c r="E12" s="5">
        <v>2910000</v>
      </c>
      <c r="F12" s="5">
        <f t="shared" si="0"/>
        <v>8355000</v>
      </c>
      <c r="G12" s="6">
        <v>0.126</v>
      </c>
    </row>
    <row r="13" spans="1:7" x14ac:dyDescent="0.3">
      <c r="A13" s="4" t="s">
        <v>17</v>
      </c>
      <c r="B13" s="4" t="s">
        <v>11</v>
      </c>
      <c r="C13" s="5">
        <v>1735000</v>
      </c>
      <c r="D13" s="5">
        <v>1810000</v>
      </c>
      <c r="E13" s="5">
        <v>1895000</v>
      </c>
      <c r="F13" s="5">
        <f t="shared" si="0"/>
        <v>5440000</v>
      </c>
      <c r="G13" s="6">
        <v>0.10100000000000001</v>
      </c>
    </row>
    <row r="14" spans="1:7" x14ac:dyDescent="0.3">
      <c r="A14" s="4" t="s">
        <v>18</v>
      </c>
      <c r="B14" s="4" t="s">
        <v>11</v>
      </c>
      <c r="C14" s="5">
        <v>1380000</v>
      </c>
      <c r="D14" s="5">
        <v>1445000</v>
      </c>
      <c r="E14" s="5">
        <v>1515000</v>
      </c>
      <c r="F14" s="5">
        <f t="shared" si="0"/>
        <v>4340000</v>
      </c>
      <c r="G14" s="6">
        <v>7.2999999999999995E-2</v>
      </c>
    </row>
    <row r="15" spans="1:7" x14ac:dyDescent="0.3">
      <c r="A15" s="4" t="s">
        <v>19</v>
      </c>
      <c r="B15" s="4" t="s">
        <v>11</v>
      </c>
      <c r="C15" s="5">
        <v>980000</v>
      </c>
      <c r="D15" s="5">
        <v>1025000</v>
      </c>
      <c r="E15" s="5">
        <v>1075000</v>
      </c>
      <c r="F15" s="5">
        <f t="shared" si="0"/>
        <v>3080000</v>
      </c>
      <c r="G15" s="6">
        <v>4.9000000000000002E-2</v>
      </c>
    </row>
    <row r="16" spans="1:7" x14ac:dyDescent="0.3">
      <c r="A16" s="4" t="s">
        <v>20</v>
      </c>
      <c r="B16" s="4" t="s">
        <v>11</v>
      </c>
      <c r="C16" s="5">
        <v>2310000</v>
      </c>
      <c r="D16" s="5">
        <v>2395000</v>
      </c>
      <c r="E16" s="5">
        <v>2520000</v>
      </c>
      <c r="F16" s="5">
        <f t="shared" si="0"/>
        <v>7225000</v>
      </c>
      <c r="G16" s="6">
        <v>0.11799999999999999</v>
      </c>
    </row>
    <row r="17" spans="1:7" x14ac:dyDescent="0.3">
      <c r="A17" s="4"/>
      <c r="B17" s="4"/>
      <c r="C17" s="5"/>
      <c r="D17" s="5"/>
      <c r="E17" s="5"/>
      <c r="F17" s="5"/>
      <c r="G17" s="6"/>
    </row>
    <row r="18" spans="1:7" x14ac:dyDescent="0.3">
      <c r="A18" s="7" t="s">
        <v>22</v>
      </c>
      <c r="B18" s="7" t="s">
        <v>11</v>
      </c>
      <c r="C18" s="8">
        <f>SUM(C7:C16)</f>
        <v>17690000</v>
      </c>
      <c r="D18" s="8">
        <f>SUM(D7:D16)</f>
        <v>18435000</v>
      </c>
      <c r="E18" s="8">
        <f>SUM(E7:E16)</f>
        <v>19335000</v>
      </c>
      <c r="F18" s="8">
        <f>SUM(F7:F16)</f>
        <v>55460000</v>
      </c>
      <c r="G18" s="9">
        <f>AVERAGE(G7:G16)</f>
        <v>8.8099999999999998E-2</v>
      </c>
    </row>
    <row r="21" spans="1:7" x14ac:dyDescent="0.3">
      <c r="A21" s="10" t="s">
        <v>23</v>
      </c>
    </row>
    <row r="22" spans="1:7" x14ac:dyDescent="0.3">
      <c r="A22" t="s">
        <v>24</v>
      </c>
    </row>
    <row r="23" spans="1:7" x14ac:dyDescent="0.3">
      <c r="A23" t="s">
        <v>25</v>
      </c>
    </row>
  </sheetData>
  <autoFilter ref="A6:G16" xr:uid="{00000000-0009-0000-0000-000000000000}"/>
  <conditionalFormatting sqref="G7:G1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selection activeCell="C13" sqref="C13"/>
    </sheetView>
  </sheetViews>
  <sheetFormatPr defaultRowHeight="14.4" x14ac:dyDescent="0.3"/>
  <cols>
    <col min="1" max="1" width="25" customWidth="1"/>
    <col min="2" max="2" width="18" customWidth="1"/>
    <col min="3" max="3" width="65" customWidth="1"/>
  </cols>
  <sheetData>
    <row r="1" spans="1:3" ht="19.8" x14ac:dyDescent="0.4">
      <c r="A1" s="11" t="s">
        <v>26</v>
      </c>
    </row>
    <row r="3" spans="1:3" x14ac:dyDescent="0.3">
      <c r="A3" s="12" t="s">
        <v>27</v>
      </c>
      <c r="B3" s="12" t="s">
        <v>28</v>
      </c>
      <c r="C3" s="12" t="s">
        <v>29</v>
      </c>
    </row>
    <row r="4" spans="1:3" x14ac:dyDescent="0.3">
      <c r="A4" t="s">
        <v>30</v>
      </c>
      <c r="B4" t="s">
        <v>31</v>
      </c>
      <c r="C4" t="s">
        <v>32</v>
      </c>
    </row>
    <row r="5" spans="1:3" x14ac:dyDescent="0.3">
      <c r="A5" t="s">
        <v>33</v>
      </c>
      <c r="B5" t="s">
        <v>34</v>
      </c>
      <c r="C5" t="s">
        <v>35</v>
      </c>
    </row>
    <row r="6" spans="1:3" x14ac:dyDescent="0.3">
      <c r="A6" t="s">
        <v>36</v>
      </c>
      <c r="B6" t="s">
        <v>37</v>
      </c>
      <c r="C6" t="s">
        <v>38</v>
      </c>
    </row>
    <row r="7" spans="1:3" x14ac:dyDescent="0.3">
      <c r="A7" t="s">
        <v>39</v>
      </c>
      <c r="B7" t="s">
        <v>37</v>
      </c>
      <c r="C7" t="s">
        <v>40</v>
      </c>
    </row>
    <row r="8" spans="1:3" x14ac:dyDescent="0.3">
      <c r="B8" t="s">
        <v>41</v>
      </c>
      <c r="C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Forecast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Pawar</cp:lastModifiedBy>
  <dcterms:created xsi:type="dcterms:W3CDTF">2026-09-30T16:47:02Z</dcterms:created>
  <dcterms:modified xsi:type="dcterms:W3CDTF">2026-09-30T17:15:24Z</dcterms:modified>
</cp:coreProperties>
</file>